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" state="visible" r:id="rId4"/>
    <sheet sheetId="2" name="How to read" state="visible" r:id="rId5"/>
  </sheets>
  <calcPr calcId="171027"/>
</workbook>
</file>

<file path=xl/sharedStrings.xml><?xml version="1.0" encoding="utf-8"?>
<sst xmlns="http://schemas.openxmlformats.org/spreadsheetml/2006/main" count="67" uniqueCount="65">
  <si>
    <t>KYRT — Economic Model  ·  Refer&amp;Earn · Discount · Buyback</t>
  </si>
  <si>
    <t>Blue = editable input · Black = formula. Adjust the parameters and scenarios; everything recalculates.</t>
  </si>
  <si>
    <t>GLOBAL PARAMETERS</t>
  </si>
  <si>
    <t>Total supply (KYRT)</t>
  </si>
  <si>
    <t>Target KYRT price (US$)</t>
  </si>
  <si>
    <t>Implied FDV (US$)</t>
  </si>
  <si>
    <t>Rewards pool (% of supply)</t>
  </si>
  <si>
    <t>Rewards pool (KYRT)</t>
  </si>
  <si>
    <t>Pro plan (US$/mo)</t>
  </si>
  <si>
    <t>Business plan (US$/mo)</t>
  </si>
  <si>
    <t>Reward per referral (US$, total)</t>
  </si>
  <si>
    <t>Discount when paying plan in KYRT</t>
  </si>
  <si>
    <t>Revenue allocated to buyback</t>
  </si>
  <si>
    <t>Burned share of buyback</t>
  </si>
  <si>
    <t>Average retention (months)</t>
  </si>
  <si>
    <t>Gross margin (for LTV)</t>
  </si>
  <si>
    <t>Aggressive</t>
  </si>
  <si>
    <t>Active users</t>
  </si>
  <si>
    <t>% paying</t>
  </si>
  <si>
    <t>Pro mix (% of payers)</t>
  </si>
  <si>
    <t>% payers paying in KYRT</t>
  </si>
  <si>
    <t>% users referring / year</t>
  </si>
  <si>
    <t>REVENUE</t>
  </si>
  <si>
    <t>Payers</t>
  </si>
  <si>
    <t xml:space="preserve">   Pro (units)</t>
  </si>
  <si>
    <t xml:space="preserve">   Business (units)</t>
  </si>
  <si>
    <t>MRR — monthly revenue (US$)</t>
  </si>
  <si>
    <t>ARR — annual revenue (US$)</t>
  </si>
  <si>
    <t>ARPU (US$/mo)</t>
  </si>
  <si>
    <t>DISTRIBUTION — Refer &amp; Earn  (tokens going OUT)</t>
  </si>
  <si>
    <t>Successful referrals / year</t>
  </si>
  <si>
    <t>Refer&amp;Earn cost / year (US$)</t>
  </si>
  <si>
    <t>KYRT distributed / year</t>
  </si>
  <si>
    <t>Rewards pool runway (years)</t>
  </si>
  <si>
    <t>SINK &amp; BUYBACK  (tokens coming BACK / burned)</t>
  </si>
  <si>
    <t>Revenue paid in KYRT / year (US$)</t>
  </si>
  <si>
    <t>Discount cost / year (US$)</t>
  </si>
  <si>
    <t>Buyback / year (US$)</t>
  </si>
  <si>
    <t>KYRT bought back / year</t>
  </si>
  <si>
    <t>KYRT burned / year</t>
  </si>
  <si>
    <t>Annual deflation (% of supply)</t>
  </si>
  <si>
    <t>READOUT — Sustainability &amp; Unit Economics</t>
  </si>
  <si>
    <t>Incentive program cost / year (US$)</t>
  </si>
  <si>
    <t>Coverage — buyback / program</t>
  </si>
  <si>
    <t>CAC per acquired user (US$)</t>
  </si>
  <si>
    <t>LTV per user (US$)</t>
  </si>
  <si>
    <t>LTV / CAC</t>
  </si>
  <si>
    <t>How to read this model</t>
  </si>
  <si>
    <t>Everything in BLUE is editable. Change the global parameters and the 3 scenarios; the formulas recalculate.</t>
  </si>
  <si>
    <t/>
  </si>
  <si>
    <t>Health signals</t>
  </si>
  <si>
    <t>• LTV / CAC &gt; 3x  → the referral incentive pays for itself with room to spare (here it's usually VERY high → you can afford to be more generous).</t>
  </si>
  <si>
    <t>• Coverage (buyback / program) &gt; 1x  → revenue buys back more than the incentive costs (the program is self-sustaining).</t>
  </si>
  <si>
    <t>• Rewards pool runway &gt; 3–5 years  → the emission cap (pool) doesn't run out too early.</t>
  </si>
  <si>
    <t>• Healthy annual deflation, but not absurd (if KYRT bought back/year &gt; pool, the price rises and the static model overstates it).</t>
  </si>
  <si>
    <t>Honest caveats</t>
  </si>
  <si>
    <t>• STATIC model: the KYRT price actually reacts to the buyback (it rises), so in US$ the buyback repurchases FEWER tokens than shown. Treat the KYRT side as a ceiling.</t>
  </si>
  <si>
    <t>• Pre-market, distributed KYRT is a LIABILITY (a promise), not a cash cost — it becomes a real cost only once there's liquidity. The pool must back the off-chain balances.</t>
  </si>
  <si>
    <t>• 'Paying in KYRT' assumes the user ALREADY earned KYRT (Refer&amp;Earn). That's the flywheel: distribute → spend.</t>
  </si>
  <si>
    <t>Open decisions (set them and see the impact)</t>
  </si>
  <si>
    <t>1. Reward per referral (B12) — with LTV/CAC this high, you can raise it. By how much?</t>
  </si>
  <si>
    <t>2. Discount for paying the plan in KYRT (B13) — incentive vs. margin.</t>
  </si>
  <si>
    <t>3. Rewards pool / emission cap (B8) — share of supply reserved for distribution.</t>
  </si>
  <si>
    <t>4. Does paying the plan BURN the KYRT or return it to the treasury? (changes deflation — see row 45).</t>
  </si>
  <si>
    <t>5. Target price (B6) — drives the whole KYRT side; it's a reference, the market decides.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</si>
</sst>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$0.000000"/>
    <numFmt numFmtId="165" formatCode="$#,##0"/>
    <numFmt numFmtId="166" formatCode="0.0%"/>
    <numFmt numFmtId="167" formatCode="$#,##0.00"/>
    <numFmt numFmtId="168" formatCode="0.0&quot;  years&quot;"/>
    <numFmt numFmtId="169" formatCode="0.0&quot;x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i/>
      <color rgb="FF5D7488"/>
      <sz val="9"/>
      <name val="Arial"/>
    </font>
    <font>
      <b/>
      <color rgb="FFFFFFFF"/>
      <sz val="10"/>
      <name val="Arial"/>
    </font>
    <font>
      <sz val="10"/>
      <name val="Arial"/>
    </font>
    <font>
      <color rgb="FF0000FF"/>
      <sz val="10"/>
      <name val="Arial"/>
    </font>
    <font>
      <b/>
      <sz val="10"/>
      <name val="Arial"/>
    </font>
    <font>
      <b/>
      <color rgb="FF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091E2F"/>
      </patternFill>
    </fill>
    <fill>
      <patternFill patternType="solid">
        <fgColor rgb="FFEAF3FF"/>
      </patternFill>
    </fill>
    <fill>
      <patternFill patternType="solid">
        <fgColor rgb="FF00A859"/>
      </patternFill>
    </fill>
    <fill>
      <patternFill patternType="solid">
        <fgColor rgb="FF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2" borderId="0" xfId="0" applyFont="1" applyFill="1" applyAlignment="1">
      <alignment indent="1"/>
    </xf>
    <xf numFmtId="0" fontId="4" fillId="0" borderId="0" xfId="0" applyFont="1" applyAlignment="1">
      <alignment indent="1"/>
    </xf>
    <xf numFmtId="3" fontId="5" fillId="3" borderId="0" xfId="0" applyNumberFormat="1" applyFont="1" applyFill="1" applyAlignment="1">
      <alignment horizontal="right"/>
    </xf>
    <xf numFmtId="164" fontId="5" fillId="3" borderId="0" xfId="0" applyNumberFormat="1" applyFont="1" applyFill="1" applyAlignment="1">
      <alignment horizontal="right"/>
    </xf>
    <xf numFmtId="165" fontId="4" fillId="0" borderId="0" xfId="0" applyNumberFormat="1" applyFont="1" applyAlignment="1">
      <alignment horizontal="right"/>
    </xf>
    <xf numFmtId="166" fontId="5" fillId="3" borderId="0" xfId="0" applyNumberFormat="1" applyFont="1" applyFill="1" applyAlignment="1">
      <alignment horizontal="right"/>
    </xf>
    <xf numFmtId="3" fontId="4" fillId="0" borderId="0" xfId="0" applyNumberFormat="1" applyFont="1" applyAlignment="1">
      <alignment horizontal="right"/>
    </xf>
    <xf numFmtId="165" fontId="5" fillId="3" borderId="0" xfId="0" applyNumberFormat="1" applyFont="1" applyFill="1" applyAlignment="1">
      <alignment horizontal="right"/>
    </xf>
    <xf numFmtId="1" fontId="5" fillId="3" borderId="0" xfId="0" applyNumberFormat="1" applyFont="1" applyFill="1" applyAlignment="1">
      <alignment horizontal="right"/>
    </xf>
    <xf numFmtId="0" fontId="3" fillId="4" borderId="0" xfId="0" applyFont="1" applyFill="1" applyAlignment="1">
      <alignment horizontal="center"/>
    </xf>
    <xf numFmtId="167" fontId="4" fillId="0" borderId="0" xfId="0" applyNumberFormat="1" applyFont="1" applyAlignment="1">
      <alignment horizontal="right"/>
    </xf>
    <xf numFmtId="0" fontId="4" fillId="5" borderId="0" xfId="0" applyFont="1" applyFill="1" applyAlignment="1">
      <alignment indent="1"/>
    </xf>
    <xf numFmtId="168" fontId="4" fillId="5" borderId="0" xfId="0" applyNumberFormat="1" applyFont="1" applyFill="1" applyAlignment="1">
      <alignment horizontal="right"/>
    </xf>
    <xf numFmtId="10" fontId="4" fillId="5" borderId="0" xfId="0" applyNumberFormat="1" applyFont="1" applyFill="1" applyAlignment="1">
      <alignment horizontal="right"/>
    </xf>
    <xf numFmtId="169" fontId="6" fillId="5" borderId="0" xfId="0" applyNumberFormat="1" applyFont="1" applyFill="1" applyAlignment="1">
      <alignment horizontal="right"/>
    </xf>
    <xf numFmtId="0" fontId="7" fillId="2" borderId="0" xfId="0" applyFont="1" applyFill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5" width="16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1000000000</v>
      </c>
    </row>
    <row r="6" spans="1:2" x14ac:dyDescent="0.25">
      <c r="A6" s="4" t="s">
        <v>4</v>
      </c>
      <c r="B6" s="6">
        <v>0.002</v>
      </c>
    </row>
    <row r="7" spans="1:2" x14ac:dyDescent="0.25">
      <c r="A7" s="4" t="s">
        <v>5</v>
      </c>
      <c r="B7" s="7">
        <f>B5*B6</f>
        <v>2000000</v>
      </c>
    </row>
    <row r="8" spans="1:2" x14ac:dyDescent="0.25">
      <c r="A8" s="4" t="s">
        <v>6</v>
      </c>
      <c r="B8" s="8">
        <v>0.15</v>
      </c>
    </row>
    <row r="9" spans="1:2" x14ac:dyDescent="0.25">
      <c r="A9" s="4" t="s">
        <v>7</v>
      </c>
      <c r="B9" s="9">
        <f>B5*B8</f>
        <v>150000000</v>
      </c>
    </row>
    <row r="10" spans="1:2" x14ac:dyDescent="0.25">
      <c r="A10" s="4" t="s">
        <v>8</v>
      </c>
      <c r="B10" s="10">
        <v>19</v>
      </c>
    </row>
    <row r="11" spans="1:2" x14ac:dyDescent="0.25">
      <c r="A11" s="4" t="s">
        <v>9</v>
      </c>
      <c r="B11" s="10">
        <v>49</v>
      </c>
    </row>
    <row r="12" spans="1:2" x14ac:dyDescent="0.25">
      <c r="A12" s="4" t="s">
        <v>10</v>
      </c>
      <c r="B12" s="10">
        <v>8</v>
      </c>
    </row>
    <row r="13" spans="1:2" x14ac:dyDescent="0.25">
      <c r="A13" s="4" t="s">
        <v>11</v>
      </c>
      <c r="B13" s="8">
        <v>0.15</v>
      </c>
    </row>
    <row r="14" spans="1:2" x14ac:dyDescent="0.25">
      <c r="A14" s="4" t="s">
        <v>12</v>
      </c>
      <c r="B14" s="8">
        <v>0.3</v>
      </c>
    </row>
    <row r="15" spans="1:2" x14ac:dyDescent="0.25">
      <c r="A15" s="4" t="s">
        <v>13</v>
      </c>
      <c r="B15" s="8">
        <v>0.5</v>
      </c>
    </row>
    <row r="16" spans="1:2" x14ac:dyDescent="0.25">
      <c r="A16" s="4" t="s">
        <v>14</v>
      </c>
      <c r="B16" s="11">
        <v>18</v>
      </c>
    </row>
    <row r="17" spans="1:2" x14ac:dyDescent="0.25">
      <c r="A17" s="4" t="s">
        <v>15</v>
      </c>
      <c r="B17" s="8">
        <v>0.8</v>
      </c>
    </row>
    <row r="19" spans="1:5" x14ac:dyDescent="0.25">
      <c r="A19" s="12" t="s">
        <v>16</v>
      </c>
      <c r="B19" s="12"/>
      <c r="C19" s="12"/>
      <c r="D19" s="12"/>
      <c r="E19" s="12"/>
    </row>
    <row r="20" spans="1:5" x14ac:dyDescent="0.25">
      <c r="A20" s="4" t="s">
        <v>17</v>
      </c>
      <c r="C20" s="5">
        <v>2000</v>
      </c>
      <c r="D20" s="5">
        <v>15000</v>
      </c>
      <c r="E20" s="5">
        <v>60000</v>
      </c>
    </row>
    <row r="21" spans="1:5" x14ac:dyDescent="0.25">
      <c r="A21" s="4" t="s">
        <v>18</v>
      </c>
      <c r="C21" s="8">
        <v>0.08</v>
      </c>
      <c r="D21" s="8">
        <v>0.1</v>
      </c>
      <c r="E21" s="8">
        <v>0.12</v>
      </c>
    </row>
    <row r="22" spans="1:5" x14ac:dyDescent="0.25">
      <c r="A22" s="4" t="s">
        <v>19</v>
      </c>
      <c r="C22" s="8">
        <v>0.8</v>
      </c>
      <c r="D22" s="8">
        <v>0.75</v>
      </c>
      <c r="E22" s="8">
        <v>0.7</v>
      </c>
    </row>
    <row r="23" spans="1:5" x14ac:dyDescent="0.25">
      <c r="A23" s="4" t="s">
        <v>20</v>
      </c>
      <c r="C23" s="8">
        <v>0.2</v>
      </c>
      <c r="D23" s="8">
        <v>0.35</v>
      </c>
      <c r="E23" s="8">
        <v>0.5</v>
      </c>
    </row>
    <row r="24" spans="1:5" x14ac:dyDescent="0.25">
      <c r="A24" s="4" t="s">
        <v>21</v>
      </c>
      <c r="C24" s="8">
        <v>0.1</v>
      </c>
      <c r="D24" s="8">
        <v>0.2</v>
      </c>
      <c r="E24" s="8">
        <v>0.3</v>
      </c>
    </row>
    <row r="26" spans="1:5" x14ac:dyDescent="0.25">
      <c r="A26" s="3" t="s">
        <v>22</v>
      </c>
      <c r="B26" s="3"/>
      <c r="C26" s="3"/>
      <c r="D26" s="3"/>
      <c r="E26" s="3"/>
    </row>
    <row r="27" spans="1:5" x14ac:dyDescent="0.25">
      <c r="A27" s="4" t="s">
        <v>23</v>
      </c>
      <c r="C27" s="9">
        <f>C20*C21</f>
        <v>160</v>
      </c>
      <c r="D27" s="9">
        <f>D20*D21</f>
        <v>1500</v>
      </c>
      <c r="E27" s="9">
        <f>E20*E21</f>
        <v>7200</v>
      </c>
    </row>
    <row r="28" spans="1:5" x14ac:dyDescent="0.25">
      <c r="A28" s="4" t="s">
        <v>24</v>
      </c>
      <c r="C28" s="9">
        <f>C27*C22</f>
        <v>128</v>
      </c>
      <c r="D28" s="9">
        <f>D27*D22</f>
        <v>1125</v>
      </c>
      <c r="E28" s="9">
        <f>E27*E22</f>
        <v>5040</v>
      </c>
    </row>
    <row r="29" spans="1:5" x14ac:dyDescent="0.25">
      <c r="A29" s="4" t="s">
        <v>25</v>
      </c>
      <c r="C29" s="9">
        <f>C27*(1-C22)</f>
        <v>31.999999999999993</v>
      </c>
      <c r="D29" s="9">
        <f>D27*(1-D22)</f>
        <v>375</v>
      </c>
      <c r="E29" s="9">
        <f>E27*(1-E22)</f>
        <v>2160.0000000000005</v>
      </c>
    </row>
    <row r="30" spans="1:5" x14ac:dyDescent="0.25">
      <c r="A30" s="4" t="s">
        <v>26</v>
      </c>
      <c r="C30" s="7">
        <f>C28*$B$10+C29*$B$11</f>
        <v>3999.9999999999995</v>
      </c>
      <c r="D30" s="7">
        <f>D28*$B$10+D29*$B$11</f>
        <v>39750</v>
      </c>
      <c r="E30" s="7">
        <f>E28*$B$10+E29*$B$11</f>
        <v>201600.00000000003</v>
      </c>
    </row>
    <row r="31" spans="1:5" x14ac:dyDescent="0.25">
      <c r="A31" s="4" t="s">
        <v>27</v>
      </c>
      <c r="C31" s="7">
        <f>C30*12</f>
        <v>47999.99999999999</v>
      </c>
      <c r="D31" s="7">
        <f>D30*12</f>
        <v>477000</v>
      </c>
      <c r="E31" s="7">
        <f>E30*12</f>
        <v>2419200.0000000005</v>
      </c>
    </row>
    <row r="32" spans="1:5" x14ac:dyDescent="0.25">
      <c r="A32" s="4" t="s">
        <v>28</v>
      </c>
      <c r="C32" s="13">
        <f>C30/C27</f>
        <v>24.999999999999996</v>
      </c>
      <c r="D32" s="13">
        <f>D30/D27</f>
        <v>26.5</v>
      </c>
      <c r="E32" s="13">
        <f>E30/E27</f>
        <v>28.000000000000004</v>
      </c>
    </row>
    <row r="34" spans="1:5" x14ac:dyDescent="0.25">
      <c r="A34" s="3" t="s">
        <v>29</v>
      </c>
      <c r="B34" s="3"/>
      <c r="C34" s="3"/>
      <c r="D34" s="3"/>
      <c r="E34" s="3"/>
    </row>
    <row r="35" spans="1:5" x14ac:dyDescent="0.25">
      <c r="A35" s="4" t="s">
        <v>30</v>
      </c>
      <c r="C35" s="9">
        <f>C20*C24</f>
        <v>200</v>
      </c>
      <c r="D35" s="9">
        <f>D20*D24</f>
        <v>3000</v>
      </c>
      <c r="E35" s="9">
        <f>E20*E24</f>
        <v>18000</v>
      </c>
    </row>
    <row r="36" spans="1:5" x14ac:dyDescent="0.25">
      <c r="A36" s="4" t="s">
        <v>31</v>
      </c>
      <c r="C36" s="7">
        <f>C35*$B$12</f>
        <v>1600</v>
      </c>
      <c r="D36" s="7">
        <f>D35*$B$12</f>
        <v>24000</v>
      </c>
      <c r="E36" s="7">
        <f>E35*$B$12</f>
        <v>144000</v>
      </c>
    </row>
    <row r="37" spans="1:5" x14ac:dyDescent="0.25">
      <c r="A37" s="4" t="s">
        <v>32</v>
      </c>
      <c r="C37" s="9">
        <f>C36/$B$6</f>
        <v>800000</v>
      </c>
      <c r="D37" s="9">
        <f>D36/$B$6</f>
        <v>12000000</v>
      </c>
      <c r="E37" s="9">
        <f>E36/$B$6</f>
        <v>72000000</v>
      </c>
    </row>
    <row r="38" spans="1:5" x14ac:dyDescent="0.25">
      <c r="A38" s="14" t="s">
        <v>33</v>
      </c>
      <c r="C38" s="15">
        <f>$B$9/C37</f>
        <v>187.5</v>
      </c>
      <c r="D38" s="15">
        <f>$B$9/D37</f>
        <v>12.5</v>
      </c>
      <c r="E38" s="15">
        <f>$B$9/E37</f>
        <v>2.0833333333333335</v>
      </c>
    </row>
    <row r="40" spans="1:5" x14ac:dyDescent="0.25">
      <c r="A40" s="3" t="s">
        <v>34</v>
      </c>
      <c r="B40" s="3"/>
      <c r="C40" s="3"/>
      <c r="D40" s="3"/>
      <c r="E40" s="3"/>
    </row>
    <row r="41" spans="1:5" x14ac:dyDescent="0.25">
      <c r="A41" s="4" t="s">
        <v>35</v>
      </c>
      <c r="C41" s="7">
        <f>C31*C23</f>
        <v>9599.999999999998</v>
      </c>
      <c r="D41" s="7">
        <f>D31*D23</f>
        <v>166950</v>
      </c>
      <c r="E41" s="7">
        <f>E31*E23</f>
        <v>1209600.0000000002</v>
      </c>
    </row>
    <row r="42" spans="1:5" x14ac:dyDescent="0.25">
      <c r="A42" s="4" t="s">
        <v>36</v>
      </c>
      <c r="C42" s="7">
        <f>C41*$B$13</f>
        <v>1439.9999999999998</v>
      </c>
      <c r="D42" s="7">
        <f>D41*$B$13</f>
        <v>25042.5</v>
      </c>
      <c r="E42" s="7">
        <f>E41*$B$13</f>
        <v>181440.00000000003</v>
      </c>
    </row>
    <row r="43" spans="1:5" x14ac:dyDescent="0.25">
      <c r="A43" s="4" t="s">
        <v>37</v>
      </c>
      <c r="C43" s="7">
        <f>C31*$B$14</f>
        <v>14399.999999999998</v>
      </c>
      <c r="D43" s="7">
        <f>D31*$B$14</f>
        <v>143100</v>
      </c>
      <c r="E43" s="7">
        <f>E31*$B$14</f>
        <v>725760.0000000001</v>
      </c>
    </row>
    <row r="44" spans="1:5" x14ac:dyDescent="0.25">
      <c r="A44" s="4" t="s">
        <v>38</v>
      </c>
      <c r="C44" s="9">
        <f>C43/$B$6</f>
        <v>7199999.999999999</v>
      </c>
      <c r="D44" s="9">
        <f>D43/$B$6</f>
        <v>71550000</v>
      </c>
      <c r="E44" s="9">
        <f>E43/$B$6</f>
        <v>362880000.00000006</v>
      </c>
    </row>
    <row r="45" spans="1:5" x14ac:dyDescent="0.25">
      <c r="A45" s="4" t="s">
        <v>39</v>
      </c>
      <c r="C45" s="9">
        <f>C44*$B$15</f>
        <v>3599999.9999999995</v>
      </c>
      <c r="D45" s="9">
        <f>D44*$B$15</f>
        <v>35775000</v>
      </c>
      <c r="E45" s="9">
        <f>E44*$B$15</f>
        <v>181440000.00000003</v>
      </c>
    </row>
    <row r="46" spans="1:5" x14ac:dyDescent="0.25">
      <c r="A46" s="14" t="s">
        <v>40</v>
      </c>
      <c r="C46" s="16">
        <f>C45/$B$5</f>
        <v>0.0035999999999999995</v>
      </c>
      <c r="D46" s="16">
        <f>D45/$B$5</f>
        <v>0.035775</v>
      </c>
      <c r="E46" s="16">
        <f>E45/$B$5</f>
        <v>0.18144000000000002</v>
      </c>
    </row>
    <row r="48" spans="1:5" x14ac:dyDescent="0.25">
      <c r="A48" s="3" t="s">
        <v>41</v>
      </c>
      <c r="B48" s="3"/>
      <c r="C48" s="3"/>
      <c r="D48" s="3"/>
      <c r="E48" s="3"/>
    </row>
    <row r="49" spans="1:5" x14ac:dyDescent="0.25">
      <c r="A49" s="4" t="s">
        <v>42</v>
      </c>
      <c r="C49" s="7">
        <f>C36+C42</f>
        <v>3040</v>
      </c>
      <c r="D49" s="7">
        <f>D36+D42</f>
        <v>49042.5</v>
      </c>
      <c r="E49" s="7">
        <f>E36+E42</f>
        <v>325440</v>
      </c>
    </row>
    <row r="50" spans="1:5" x14ac:dyDescent="0.25">
      <c r="A50" s="14" t="s">
        <v>43</v>
      </c>
      <c r="C50" s="17">
        <f>C43/C49</f>
        <v>4.7368421052631575</v>
      </c>
      <c r="D50" s="17">
        <f>D43/D49</f>
        <v>2.9178773512769536</v>
      </c>
      <c r="E50" s="17">
        <f>E43/E49</f>
        <v>2.2300884955752216</v>
      </c>
    </row>
    <row r="51" spans="1:5" x14ac:dyDescent="0.25">
      <c r="A51" s="4" t="s">
        <v>44</v>
      </c>
      <c r="C51" s="13">
        <f>$B$12</f>
        <v>8</v>
      </c>
      <c r="D51" s="13">
        <f>$B$12</f>
        <v>8</v>
      </c>
      <c r="E51" s="13">
        <f>$B$12</f>
        <v>8</v>
      </c>
    </row>
    <row r="52" spans="1:5" x14ac:dyDescent="0.25">
      <c r="A52" s="4" t="s">
        <v>45</v>
      </c>
      <c r="C52" s="7">
        <f>C32*$B$16*$B$17</f>
        <v>360</v>
      </c>
      <c r="D52" s="7">
        <f>D32*$B$16*$B$17</f>
        <v>381.6</v>
      </c>
      <c r="E52" s="7">
        <f>E32*$B$16*$B$17</f>
        <v>403.20000000000005</v>
      </c>
    </row>
    <row r="53" spans="1:5" x14ac:dyDescent="0.25">
      <c r="A53" s="14" t="s">
        <v>46</v>
      </c>
      <c r="C53" s="17">
        <f>C52/C51</f>
        <v>45</v>
      </c>
      <c r="D53" s="17">
        <f>D52/D51</f>
        <v>47.7</v>
      </c>
      <c r="E53" s="17">
        <f>E52/E51</f>
        <v>50.400000000000006</v>
      </c>
    </row>
  </sheetData>
  <mergeCells count="8">
    <mergeCell ref="A1:E1"/>
    <mergeCell ref="A2:E2"/>
    <mergeCell ref="A4:E4"/>
    <mergeCell ref="A19:E19"/>
    <mergeCell ref="A26:E26"/>
    <mergeCell ref="A34:E34"/>
    <mergeCell ref="A40:E40"/>
    <mergeCell ref="A48:E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" width="100" customWidth="1"/>
  </cols>
  <sheetData>
    <row r="1" spans="1:1" x14ac:dyDescent="0.25">
      <c r="A1" s="18" t="s">
        <v>47</v>
      </c>
    </row>
    <row r="2" spans="1:1" x14ac:dyDescent="0.25">
      <c r="A2" s="19" t="s">
        <v>48</v>
      </c>
    </row>
    <row r="3" spans="1:1" x14ac:dyDescent="0.25">
      <c r="A3" s="19" t="s">
        <v>49</v>
      </c>
    </row>
    <row r="4" spans="1:1" x14ac:dyDescent="0.25">
      <c r="A4" s="18" t="s">
        <v>50</v>
      </c>
    </row>
    <row r="5" spans="1:1" x14ac:dyDescent="0.25">
      <c r="A5" s="19" t="s">
        <v>51</v>
      </c>
    </row>
    <row r="6" spans="1:1" x14ac:dyDescent="0.25">
      <c r="A6" s="19" t="s">
        <v>52</v>
      </c>
    </row>
    <row r="7" spans="1:1" x14ac:dyDescent="0.25">
      <c r="A7" s="19" t="s">
        <v>53</v>
      </c>
    </row>
    <row r="8" spans="1:1" x14ac:dyDescent="0.25">
      <c r="A8" s="19" t="s">
        <v>54</v>
      </c>
    </row>
    <row r="9" spans="1:1" x14ac:dyDescent="0.25">
      <c r="A9" s="19" t="s">
        <v>49</v>
      </c>
    </row>
    <row r="10" spans="1:1" x14ac:dyDescent="0.25">
      <c r="A10" s="18" t="s">
        <v>55</v>
      </c>
    </row>
    <row r="11" spans="1:1" x14ac:dyDescent="0.25">
      <c r="A11" s="19" t="s">
        <v>56</v>
      </c>
    </row>
    <row r="12" spans="1:1" x14ac:dyDescent="0.25">
      <c r="A12" s="19" t="s">
        <v>57</v>
      </c>
    </row>
    <row r="13" spans="1:1" x14ac:dyDescent="0.25">
      <c r="A13" s="19" t="s">
        <v>58</v>
      </c>
    </row>
    <row r="14" spans="1:1" x14ac:dyDescent="0.25">
      <c r="A14" s="19" t="s">
        <v>49</v>
      </c>
    </row>
    <row r="15" spans="1:1" x14ac:dyDescent="0.25">
      <c r="A15" s="18" t="s">
        <v>59</v>
      </c>
    </row>
    <row r="16" spans="1:1" x14ac:dyDescent="0.25">
      <c r="A16" s="19" t="s">
        <v>60</v>
      </c>
    </row>
    <row r="17" spans="1:1" x14ac:dyDescent="0.25">
      <c r="A17" s="19" t="s">
        <v>61</v>
      </c>
    </row>
    <row r="18" spans="1:1" x14ac:dyDescent="0.25">
      <c r="A18" s="19" t="s">
        <v>62</v>
      </c>
    </row>
    <row r="19" spans="1:1" x14ac:dyDescent="0.25">
      <c r="A19" s="19" t="s">
        <v>63</v>
      </c>
    </row>
    <row r="20" spans="1:1" x14ac:dyDescent="0.25">
      <c r="A20" s="19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How to read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2026-06-24T03:59:53Z</dcterms:created>
  <dcterms:modified xsi:type="dcterms:W3CDTF">2026-06-24T03:59:53Z</dcterms:modified>
</cp:coreProperties>
</file>